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er\Desktop\CLASES UDP 06OCT26\SECCION 03\"/>
    </mc:Choice>
  </mc:AlternateContent>
  <xr:revisionPtr revIDLastSave="0" documentId="13_ncr:1_{DA32FE9F-3899-40BE-9CA0-A1DF646185D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Notas" sheetId="1" r:id="rId1"/>
  </sheets>
  <definedNames>
    <definedName name="_xlnm._FilterDatabase" localSheetId="0" hidden="1">Notas!$B$4:$G$74</definedName>
    <definedName name="_xlnm.Print_Area" localSheetId="0">Notas!$B$2:$D$74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1" l="1"/>
  <c r="H8" i="1"/>
  <c r="H9" i="1"/>
  <c r="H10" i="1"/>
  <c r="H11" i="1"/>
  <c r="H13" i="1"/>
  <c r="H21" i="1"/>
  <c r="H22" i="1"/>
  <c r="H23" i="1"/>
  <c r="H24" i="1"/>
  <c r="H25" i="1"/>
  <c r="H28" i="1"/>
  <c r="H29" i="1"/>
  <c r="H31" i="1"/>
  <c r="H33" i="1"/>
  <c r="G74" i="1"/>
  <c r="G73" i="1"/>
  <c r="G72" i="1"/>
  <c r="G71" i="1"/>
  <c r="G70" i="1"/>
  <c r="G69" i="1"/>
  <c r="G68" i="1"/>
  <c r="G67" i="1"/>
  <c r="G66" i="1"/>
  <c r="H66" i="1" s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49" i="1"/>
  <c r="G48" i="1"/>
  <c r="G46" i="1"/>
  <c r="G45" i="1"/>
  <c r="G44" i="1"/>
  <c r="G43" i="1"/>
  <c r="G42" i="1"/>
  <c r="G41" i="1"/>
  <c r="G39" i="1"/>
  <c r="G38" i="1"/>
  <c r="G37" i="1"/>
  <c r="G35" i="1"/>
  <c r="G33" i="1"/>
  <c r="G31" i="1"/>
  <c r="G30" i="1"/>
  <c r="H30" i="1" s="1"/>
  <c r="G29" i="1"/>
  <c r="G28" i="1"/>
  <c r="G26" i="1"/>
  <c r="H26" i="1" s="1"/>
  <c r="G25" i="1"/>
  <c r="G24" i="1"/>
  <c r="G23" i="1"/>
  <c r="G22" i="1"/>
  <c r="G21" i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G12" i="1"/>
  <c r="G11" i="1"/>
  <c r="G10" i="1"/>
  <c r="G9" i="1"/>
  <c r="G8" i="1"/>
  <c r="G7" i="1"/>
  <c r="D8" i="1"/>
  <c r="D9" i="1"/>
  <c r="D10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H34" i="1" s="1"/>
  <c r="D35" i="1"/>
  <c r="H35" i="1" s="1"/>
  <c r="D36" i="1"/>
  <c r="D37" i="1"/>
  <c r="H37" i="1" s="1"/>
  <c r="D38" i="1"/>
  <c r="H38" i="1" s="1"/>
  <c r="D39" i="1"/>
  <c r="H39" i="1" s="1"/>
  <c r="D41" i="1"/>
  <c r="H41" i="1" s="1"/>
  <c r="D42" i="1"/>
  <c r="H42" i="1" s="1"/>
  <c r="D43" i="1"/>
  <c r="H43" i="1" s="1"/>
  <c r="D44" i="1"/>
  <c r="H44" i="1" s="1"/>
  <c r="D45" i="1"/>
  <c r="H45" i="1" s="1"/>
  <c r="D46" i="1"/>
  <c r="H46" i="1" s="1"/>
  <c r="D47" i="1"/>
  <c r="D48" i="1"/>
  <c r="H48" i="1" s="1"/>
  <c r="D49" i="1"/>
  <c r="H49" i="1" s="1"/>
  <c r="D50" i="1"/>
  <c r="D51" i="1"/>
  <c r="H51" i="1" s="1"/>
  <c r="D52" i="1"/>
  <c r="H52" i="1" s="1"/>
  <c r="D53" i="1"/>
  <c r="H53" i="1" s="1"/>
  <c r="D54" i="1"/>
  <c r="H54" i="1" s="1"/>
  <c r="D55" i="1"/>
  <c r="H55" i="1" s="1"/>
  <c r="D56" i="1"/>
  <c r="H56" i="1" s="1"/>
  <c r="D57" i="1"/>
  <c r="H57" i="1" s="1"/>
  <c r="D58" i="1"/>
  <c r="H58" i="1" s="1"/>
  <c r="D59" i="1"/>
  <c r="H59" i="1" s="1"/>
  <c r="D60" i="1"/>
  <c r="H60" i="1" s="1"/>
  <c r="D61" i="1"/>
  <c r="H61" i="1" s="1"/>
  <c r="D62" i="1"/>
  <c r="H62" i="1" s="1"/>
  <c r="D63" i="1"/>
  <c r="H63" i="1" s="1"/>
  <c r="D64" i="1"/>
  <c r="H64" i="1" s="1"/>
  <c r="D65" i="1"/>
  <c r="H65" i="1" s="1"/>
  <c r="D66" i="1"/>
  <c r="D67" i="1"/>
  <c r="H67" i="1" s="1"/>
  <c r="D68" i="1"/>
  <c r="H68" i="1" s="1"/>
  <c r="D69" i="1"/>
  <c r="D70" i="1"/>
  <c r="H70" i="1" s="1"/>
  <c r="D71" i="1"/>
  <c r="H71" i="1" s="1"/>
  <c r="D72" i="1"/>
  <c r="H72" i="1" s="1"/>
  <c r="D73" i="1"/>
  <c r="H73" i="1" s="1"/>
  <c r="D74" i="1"/>
  <c r="H74" i="1" s="1"/>
  <c r="D7" i="1"/>
  <c r="H7" i="1" s="1"/>
  <c r="H69" i="1" l="1"/>
  <c r="H47" i="1"/>
</calcChain>
</file>

<file path=xl/sharedStrings.xml><?xml version="1.0" encoding="utf-8"?>
<sst xmlns="http://schemas.openxmlformats.org/spreadsheetml/2006/main" count="153" uniqueCount="90">
  <si>
    <t>Nombre</t>
  </si>
  <si>
    <t>Prueba Individual - 50%</t>
  </si>
  <si>
    <t>Puntos</t>
  </si>
  <si>
    <t>NOTA</t>
  </si>
  <si>
    <t>ACEVEDO HERNÁNDEZ, TAMARA ANDREA</t>
  </si>
  <si>
    <t>ACEVEDO RIVAS, ANTO CAROLINA</t>
  </si>
  <si>
    <t>AL HOUCHI FLORES, KARIMA EPTISAM</t>
  </si>
  <si>
    <t>ALARCÓN MUÑOZ, MANUEL ENRIQUE</t>
  </si>
  <si>
    <t>ALRRUIZ FLORES, FLORENCIA ANTONIA</t>
  </si>
  <si>
    <t>AMÉSTICA CERDA, ANTONIA PAZ</t>
  </si>
  <si>
    <t>ARAYA PÉREZ, FRANCISCA IGNACIA</t>
  </si>
  <si>
    <t>BRAVO CASTILLO, GABRIELA PAZ</t>
  </si>
  <si>
    <t>CABRERA ARTUS, [GUILLERMO] FACUNDO</t>
  </si>
  <si>
    <t>CABRERA SALINAS, CELESTE MAGDALENA</t>
  </si>
  <si>
    <t>CÁCERES ANABALÓN, DAMARIS TATIANA</t>
  </si>
  <si>
    <t>CALENI PIZARRO, GIANFRANCO</t>
  </si>
  <si>
    <t>CANALES BASUALTO, CAMILA IGNACIA</t>
  </si>
  <si>
    <t>CANALES ROJAS, IGNACIA CAROLINA</t>
  </si>
  <si>
    <t>CANTINI MORA, GABRIELA MICOLLE</t>
  </si>
  <si>
    <t>CÁRDENAS INFANTE, LUCÍA</t>
  </si>
  <si>
    <t>CASTILLO GONZÁLEZ, RENATO FRANCISCO</t>
  </si>
  <si>
    <t>CLAVIJO AROS, TOMAS ALFONSO</t>
  </si>
  <si>
    <t>CORTÉS GAJARDO, FERNANDA BELEN</t>
  </si>
  <si>
    <t>CULAGOVSKI VALLE, ANTONIA</t>
  </si>
  <si>
    <t>ECHAVARRÍA VALDÉS, MARTINA ANDREA</t>
  </si>
  <si>
    <t>ESPINOZA CAMPOS, ISIDORA PAZ</t>
  </si>
  <si>
    <t>FERNÁNDEZ MARCHANT, MARTINA IGNACIA</t>
  </si>
  <si>
    <t>FERRERA MUT, DIEGO</t>
  </si>
  <si>
    <t>FIGUEROA DÍAZ, CATALINA ANTONIA</t>
  </si>
  <si>
    <t>FREDES BELLO, RODRIGO JAVIER</t>
  </si>
  <si>
    <t>GARCÍA MOLINA, VANESSA DEL CARMEN</t>
  </si>
  <si>
    <t>GIMENEZ-LASCANO AEDO, URI</t>
  </si>
  <si>
    <t>GONZÁLEZ ÁLVAREZ, ISIDORA ANTONIA</t>
  </si>
  <si>
    <t>GONZÁLEZ ARANCIBIA, GASPAR ALONSO</t>
  </si>
  <si>
    <t>IBARRA VALDERRAMA, CATALINA ISIDORA</t>
  </si>
  <si>
    <t>ITHAL PAVEZ, ANTUÁN VALENTINO</t>
  </si>
  <si>
    <t>KIRMAYR TORO, VICTORIA ALEJANDRA</t>
  </si>
  <si>
    <t>LABARCA ARAVENA, AMARA MARGARITA</t>
  </si>
  <si>
    <t>LABRA ARAVENA, VICENTE JAVIER</t>
  </si>
  <si>
    <t>LAVALLE BUSTOS, ANTONELLA ANAÍS</t>
  </si>
  <si>
    <t>MANCILLA MUÑOZ, JOSÉ MIGUEL</t>
  </si>
  <si>
    <t>MANSILLA TRUJILLO, FERNANDA BELÉN</t>
  </si>
  <si>
    <t>MATUS CERDA, SOFIA ISIDORA</t>
  </si>
  <si>
    <t>MUÑOZ AHUMADA, KAROLINE ALMENDRA</t>
  </si>
  <si>
    <t>MUÑOZ MEDINA, JUAN IGNACIO</t>
  </si>
  <si>
    <t>NIKLITSCHEK LOBOS, EVA EMILIA</t>
  </si>
  <si>
    <t>NORIEGA GÓMEZ, MARGARITA BELÉN</t>
  </si>
  <si>
    <t>ORTIZ AGUIRRE, LUCAS IGNACIO</t>
  </si>
  <si>
    <t>OYARCE SEPÚLVEDA, RODRIGO ALONSO</t>
  </si>
  <si>
    <t>PALMA CUEVAS, FRANCISCA JESÚS</t>
  </si>
  <si>
    <t>PAREDES ZAMORANO, VALENTINA DE JESÚS</t>
  </si>
  <si>
    <t>PINCHEIRA HERNÁNDEZ, BRUNO OCTAVIO</t>
  </si>
  <si>
    <t>PINOCHET LÓPEZ, FERNANDA JESÚS</t>
  </si>
  <si>
    <t>RAMÍREZ RIVERA, PEDRO TOMÁS</t>
  </si>
  <si>
    <t>RIQUELME BARRERA, NARELY ALMENDRA</t>
  </si>
  <si>
    <t>RIVAS MAYOR, LIAH FABIANA</t>
  </si>
  <si>
    <t>ROA CASTRO, SOFÍA ANTONIA</t>
  </si>
  <si>
    <t>RODRÍGUEZ SILVA, JOSEFINA VERÓNICA</t>
  </si>
  <si>
    <t>ROJAS CORTÉS-MONROY, JAVIERA BELÉN</t>
  </si>
  <si>
    <t>ROJAS DEL RÍO, MARIANA PÍA</t>
  </si>
  <si>
    <t>ROJAS NAVARRETE, MAYRA ANTONIA</t>
  </si>
  <si>
    <t>SALINAS SOTO, EMILIANA ISIDORA</t>
  </si>
  <si>
    <t>TAMAYO FERNÁNDEZ, MARÍA-JOSÉ</t>
  </si>
  <si>
    <t>TOLOZA VARGAS, TOMÁS ALEXANDER</t>
  </si>
  <si>
    <t>TORRES ARQUEROS, CAMILA BELÉN</t>
  </si>
  <si>
    <t>VALDÉS GREVE, NICOLÁS ELÍAS</t>
  </si>
  <si>
    <t>VICTORIANO ARAYA, DANIEL ANDRES</t>
  </si>
  <si>
    <t>VIDAL BAQUEDANO, VICENTE TOMÁS</t>
  </si>
  <si>
    <t>VILLA NAVARRO, NICOLAS ALEXIS</t>
  </si>
  <si>
    <t>VILLARROEL CARREÑO, MAITE AMANDA</t>
  </si>
  <si>
    <t>Lara Toraman</t>
  </si>
  <si>
    <t>EMMA Boufflerd</t>
  </si>
  <si>
    <t>n/a</t>
  </si>
  <si>
    <t>SOLEMNE 1 - SECCIÓN 03</t>
  </si>
  <si>
    <t>Grupo</t>
  </si>
  <si>
    <t>04</t>
  </si>
  <si>
    <t>13</t>
  </si>
  <si>
    <t>03</t>
  </si>
  <si>
    <t>06</t>
  </si>
  <si>
    <t>11</t>
  </si>
  <si>
    <t>12</t>
  </si>
  <si>
    <t>02</t>
  </si>
  <si>
    <t>05</t>
  </si>
  <si>
    <t>08</t>
  </si>
  <si>
    <t>10</t>
  </si>
  <si>
    <t>07</t>
  </si>
  <si>
    <t>01</t>
  </si>
  <si>
    <t>09</t>
  </si>
  <si>
    <t>Trabajo Práctico - Presentaciones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</si>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</sst>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rgb="FFCC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rgb="FFCC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7" fillId="0" borderId="1" xfId="0" applyFont="1" applyBorder="1" applyAlignment="1">
      <alignment horizontal="center"/>
    </xf>
    <xf numFmtId="164" fontId="2" fillId="0" borderId="0" xfId="0" applyNumberFormat="1" applyFont="1"/>
    <xf numFmtId="164" fontId="1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74"/>
  <sheetViews>
    <sheetView tabSelected="1" zoomScaleNormal="100" workbookViewId="0">
      <selection activeCell="J11" sqref="J11"/>
    </sheetView>
  </sheetViews>
  <sheetFormatPr baseColWidth="10" defaultColWidth="8.6328125" defaultRowHeight="14.5" x14ac:dyDescent="0.35"/>
  <cols>
    <col min="1" max="1" width="3.1796875" style="1" customWidth="1"/>
    <col min="2" max="2" width="42" style="1" customWidth="1"/>
    <col min="3" max="4" width="11" style="1" customWidth="1"/>
    <col min="5" max="5" width="7.54296875" style="1" customWidth="1"/>
    <col min="6" max="6" width="8.6328125" style="1"/>
    <col min="7" max="7" width="10.08984375" style="6" customWidth="1"/>
    <col min="8" max="8" width="11" style="1" customWidth="1"/>
    <col min="9" max="16384" width="8.6328125" style="1"/>
  </cols>
  <sheetData>
    <row r="2" spans="2:8" ht="21" x14ac:dyDescent="0.5">
      <c r="B2" s="4" t="s">
        <v>73</v>
      </c>
    </row>
    <row r="4" spans="2:8" ht="18" customHeight="1" x14ac:dyDescent="0.35">
      <c r="B4" s="27" t="s">
        <v>0</v>
      </c>
      <c r="C4" s="27" t="s">
        <v>1</v>
      </c>
      <c r="D4" s="27"/>
      <c r="E4" s="28" t="s">
        <v>88</v>
      </c>
      <c r="F4" s="28"/>
      <c r="G4" s="28"/>
      <c r="H4" s="29" t="s">
        <v>89</v>
      </c>
    </row>
    <row r="5" spans="2:8" ht="21.75" customHeight="1" x14ac:dyDescent="0.35">
      <c r="B5" s="27"/>
      <c r="C5" s="27"/>
      <c r="D5" s="27"/>
      <c r="E5" s="28"/>
      <c r="F5" s="28"/>
      <c r="G5" s="28"/>
      <c r="H5" s="29"/>
    </row>
    <row r="6" spans="2:8" ht="21.75" customHeight="1" x14ac:dyDescent="0.35">
      <c r="B6" s="27"/>
      <c r="C6" s="13" t="s">
        <v>2</v>
      </c>
      <c r="D6" s="16" t="s">
        <v>3</v>
      </c>
      <c r="E6" s="14" t="s">
        <v>74</v>
      </c>
      <c r="F6" s="15" t="s">
        <v>2</v>
      </c>
      <c r="G6" s="17" t="s">
        <v>3</v>
      </c>
      <c r="H6" s="29"/>
    </row>
    <row r="7" spans="2:8" x14ac:dyDescent="0.35">
      <c r="B7" s="3" t="s">
        <v>4</v>
      </c>
      <c r="C7" s="2">
        <v>34</v>
      </c>
      <c r="D7" s="7">
        <f>+C7*(6/52)+1</f>
        <v>4.9230769230769234</v>
      </c>
      <c r="E7" s="10" t="s">
        <v>75</v>
      </c>
      <c r="F7" s="5">
        <v>21</v>
      </c>
      <c r="G7" s="9">
        <f>+F7*(6/30)+1</f>
        <v>5.2</v>
      </c>
      <c r="H7" s="9">
        <f>+(D7+G7)/2</f>
        <v>5.0615384615384613</v>
      </c>
    </row>
    <row r="8" spans="2:8" x14ac:dyDescent="0.35">
      <c r="B8" s="3" t="s">
        <v>5</v>
      </c>
      <c r="C8" s="2">
        <v>32</v>
      </c>
      <c r="D8" s="7">
        <f t="shared" ref="D8:D71" si="0">+C8*(6/52)+1</f>
        <v>4.6923076923076925</v>
      </c>
      <c r="E8" s="10" t="s">
        <v>76</v>
      </c>
      <c r="F8" s="5">
        <v>28</v>
      </c>
      <c r="G8" s="9">
        <f t="shared" ref="G8:G71" si="1">+F8*(6/30)+1</f>
        <v>6.6000000000000005</v>
      </c>
      <c r="H8" s="9">
        <f t="shared" ref="H8:H71" si="2">+(D8+G8)/2</f>
        <v>5.6461538461538465</v>
      </c>
    </row>
    <row r="9" spans="2:8" x14ac:dyDescent="0.35">
      <c r="B9" s="3" t="s">
        <v>6</v>
      </c>
      <c r="C9" s="2">
        <v>29</v>
      </c>
      <c r="D9" s="7">
        <f t="shared" si="0"/>
        <v>4.3461538461538467</v>
      </c>
      <c r="E9" s="10" t="s">
        <v>77</v>
      </c>
      <c r="F9" s="5">
        <v>26</v>
      </c>
      <c r="G9" s="9">
        <f t="shared" si="1"/>
        <v>6.2</v>
      </c>
      <c r="H9" s="9">
        <f t="shared" si="2"/>
        <v>5.273076923076923</v>
      </c>
    </row>
    <row r="10" spans="2:8" x14ac:dyDescent="0.35">
      <c r="B10" s="3" t="s">
        <v>7</v>
      </c>
      <c r="C10" s="2">
        <v>32</v>
      </c>
      <c r="D10" s="7">
        <f t="shared" si="0"/>
        <v>4.6923076923076925</v>
      </c>
      <c r="E10" s="10" t="s">
        <v>78</v>
      </c>
      <c r="F10" s="5">
        <v>23</v>
      </c>
      <c r="G10" s="9">
        <f t="shared" si="1"/>
        <v>5.6000000000000005</v>
      </c>
      <c r="H10" s="9">
        <f t="shared" si="2"/>
        <v>5.1461538461538465</v>
      </c>
    </row>
    <row r="11" spans="2:8" x14ac:dyDescent="0.35">
      <c r="B11" s="3" t="s">
        <v>8</v>
      </c>
      <c r="C11" s="2">
        <v>41</v>
      </c>
      <c r="D11" s="7">
        <f t="shared" si="0"/>
        <v>5.7307692307692308</v>
      </c>
      <c r="E11" s="10" t="s">
        <v>79</v>
      </c>
      <c r="F11" s="5">
        <v>26</v>
      </c>
      <c r="G11" s="9">
        <f t="shared" si="1"/>
        <v>6.2</v>
      </c>
      <c r="H11" s="9">
        <f t="shared" si="2"/>
        <v>5.9653846153846155</v>
      </c>
    </row>
    <row r="12" spans="2:8" x14ac:dyDescent="0.35">
      <c r="B12" s="18" t="s">
        <v>9</v>
      </c>
      <c r="C12" s="19" t="s">
        <v>72</v>
      </c>
      <c r="D12" s="20"/>
      <c r="E12" s="21" t="s">
        <v>79</v>
      </c>
      <c r="F12" s="22">
        <v>26</v>
      </c>
      <c r="G12" s="23">
        <f t="shared" si="1"/>
        <v>6.2</v>
      </c>
      <c r="H12" s="23"/>
    </row>
    <row r="13" spans="2:8" x14ac:dyDescent="0.35">
      <c r="B13" s="3" t="s">
        <v>10</v>
      </c>
      <c r="C13" s="2">
        <v>22</v>
      </c>
      <c r="D13" s="8">
        <f t="shared" si="0"/>
        <v>3.5384615384615388</v>
      </c>
      <c r="E13" s="10" t="s">
        <v>78</v>
      </c>
      <c r="F13" s="5">
        <v>23</v>
      </c>
      <c r="G13" s="9">
        <f t="shared" si="1"/>
        <v>5.6000000000000005</v>
      </c>
      <c r="H13" s="9">
        <f t="shared" si="2"/>
        <v>4.5692307692307699</v>
      </c>
    </row>
    <row r="14" spans="2:8" x14ac:dyDescent="0.35">
      <c r="B14" s="3" t="s">
        <v>11</v>
      </c>
      <c r="C14" s="2">
        <v>36</v>
      </c>
      <c r="D14" s="7">
        <f t="shared" si="0"/>
        <v>5.1538461538461542</v>
      </c>
      <c r="E14" s="10" t="s">
        <v>80</v>
      </c>
      <c r="F14" s="5">
        <v>28</v>
      </c>
      <c r="G14" s="9">
        <f t="shared" si="1"/>
        <v>6.6000000000000005</v>
      </c>
      <c r="H14" s="9">
        <f t="shared" si="2"/>
        <v>5.8769230769230774</v>
      </c>
    </row>
    <row r="15" spans="2:8" x14ac:dyDescent="0.35">
      <c r="B15" s="3" t="s">
        <v>12</v>
      </c>
      <c r="C15" s="2">
        <v>23</v>
      </c>
      <c r="D15" s="8">
        <f t="shared" si="0"/>
        <v>3.6538461538461542</v>
      </c>
      <c r="E15" s="10" t="s">
        <v>81</v>
      </c>
      <c r="F15" s="5">
        <v>21</v>
      </c>
      <c r="G15" s="9">
        <f t="shared" si="1"/>
        <v>5.2</v>
      </c>
      <c r="H15" s="9">
        <f t="shared" si="2"/>
        <v>4.4269230769230772</v>
      </c>
    </row>
    <row r="16" spans="2:8" x14ac:dyDescent="0.35">
      <c r="B16" s="3" t="s">
        <v>13</v>
      </c>
      <c r="C16" s="2">
        <v>39</v>
      </c>
      <c r="D16" s="7">
        <f t="shared" si="0"/>
        <v>5.5</v>
      </c>
      <c r="E16" s="10" t="s">
        <v>82</v>
      </c>
      <c r="F16" s="5">
        <v>30</v>
      </c>
      <c r="G16" s="9">
        <f t="shared" si="1"/>
        <v>7</v>
      </c>
      <c r="H16" s="9">
        <f t="shared" si="2"/>
        <v>6.25</v>
      </c>
    </row>
    <row r="17" spans="2:8" x14ac:dyDescent="0.35">
      <c r="B17" s="3" t="s">
        <v>14</v>
      </c>
      <c r="C17" s="2">
        <v>28</v>
      </c>
      <c r="D17" s="7">
        <f t="shared" si="0"/>
        <v>4.2307692307692308</v>
      </c>
      <c r="E17" s="10" t="s">
        <v>80</v>
      </c>
      <c r="F17" s="5">
        <v>28</v>
      </c>
      <c r="G17" s="9">
        <f t="shared" si="1"/>
        <v>6.6000000000000005</v>
      </c>
      <c r="H17" s="9">
        <f t="shared" si="2"/>
        <v>5.4153846153846157</v>
      </c>
    </row>
    <row r="18" spans="2:8" x14ac:dyDescent="0.35">
      <c r="B18" s="3" t="s">
        <v>15</v>
      </c>
      <c r="C18" s="2">
        <v>35</v>
      </c>
      <c r="D18" s="7">
        <f t="shared" si="0"/>
        <v>5.0384615384615383</v>
      </c>
      <c r="E18" s="10" t="s">
        <v>77</v>
      </c>
      <c r="F18" s="5">
        <v>26</v>
      </c>
      <c r="G18" s="9">
        <f t="shared" si="1"/>
        <v>6.2</v>
      </c>
      <c r="H18" s="9">
        <f t="shared" si="2"/>
        <v>5.6192307692307697</v>
      </c>
    </row>
    <row r="19" spans="2:8" x14ac:dyDescent="0.35">
      <c r="B19" s="3" t="s">
        <v>16</v>
      </c>
      <c r="C19" s="2">
        <v>29</v>
      </c>
      <c r="D19" s="7">
        <f t="shared" si="0"/>
        <v>4.3461538461538467</v>
      </c>
      <c r="E19" s="10" t="s">
        <v>82</v>
      </c>
      <c r="F19" s="5">
        <v>30</v>
      </c>
      <c r="G19" s="9">
        <f t="shared" si="1"/>
        <v>7</v>
      </c>
      <c r="H19" s="9">
        <f t="shared" si="2"/>
        <v>5.6730769230769234</v>
      </c>
    </row>
    <row r="20" spans="2:8" x14ac:dyDescent="0.35">
      <c r="B20" s="3" t="s">
        <v>17</v>
      </c>
      <c r="C20" s="2">
        <v>24</v>
      </c>
      <c r="D20" s="8">
        <f t="shared" si="0"/>
        <v>3.7692307692307692</v>
      </c>
      <c r="E20" s="10" t="s">
        <v>83</v>
      </c>
      <c r="F20" s="5">
        <v>28</v>
      </c>
      <c r="G20" s="9">
        <f t="shared" si="1"/>
        <v>6.6000000000000005</v>
      </c>
      <c r="H20" s="9">
        <f t="shared" si="2"/>
        <v>5.1846153846153848</v>
      </c>
    </row>
    <row r="21" spans="2:8" x14ac:dyDescent="0.35">
      <c r="B21" s="3" t="s">
        <v>18</v>
      </c>
      <c r="C21" s="2">
        <v>22</v>
      </c>
      <c r="D21" s="8">
        <f t="shared" si="0"/>
        <v>3.5384615384615388</v>
      </c>
      <c r="E21" s="10" t="s">
        <v>84</v>
      </c>
      <c r="F21" s="5">
        <v>28</v>
      </c>
      <c r="G21" s="9">
        <f t="shared" si="1"/>
        <v>6.6000000000000005</v>
      </c>
      <c r="H21" s="9">
        <f t="shared" si="2"/>
        <v>5.0692307692307699</v>
      </c>
    </row>
    <row r="22" spans="2:8" x14ac:dyDescent="0.35">
      <c r="B22" s="3" t="s">
        <v>19</v>
      </c>
      <c r="C22" s="2">
        <v>32</v>
      </c>
      <c r="D22" s="7">
        <f t="shared" si="0"/>
        <v>4.6923076923076925</v>
      </c>
      <c r="E22" s="10" t="s">
        <v>85</v>
      </c>
      <c r="F22" s="5">
        <v>26</v>
      </c>
      <c r="G22" s="9">
        <f t="shared" si="1"/>
        <v>6.2</v>
      </c>
      <c r="H22" s="9">
        <f t="shared" si="2"/>
        <v>5.4461538461538463</v>
      </c>
    </row>
    <row r="23" spans="2:8" x14ac:dyDescent="0.35">
      <c r="B23" s="3" t="s">
        <v>20</v>
      </c>
      <c r="C23" s="2">
        <v>25</v>
      </c>
      <c r="D23" s="8">
        <f t="shared" si="0"/>
        <v>3.8846153846153846</v>
      </c>
      <c r="E23" s="10" t="s">
        <v>75</v>
      </c>
      <c r="F23" s="5">
        <v>21</v>
      </c>
      <c r="G23" s="9">
        <f t="shared" si="1"/>
        <v>5.2</v>
      </c>
      <c r="H23" s="9">
        <f t="shared" si="2"/>
        <v>4.5423076923076922</v>
      </c>
    </row>
    <row r="24" spans="2:8" x14ac:dyDescent="0.35">
      <c r="B24" s="3" t="s">
        <v>21</v>
      </c>
      <c r="C24" s="2">
        <v>29</v>
      </c>
      <c r="D24" s="7">
        <f t="shared" si="0"/>
        <v>4.3461538461538467</v>
      </c>
      <c r="E24" s="10" t="s">
        <v>77</v>
      </c>
      <c r="F24" s="5">
        <v>26</v>
      </c>
      <c r="G24" s="9">
        <f t="shared" si="1"/>
        <v>6.2</v>
      </c>
      <c r="H24" s="9">
        <f t="shared" si="2"/>
        <v>5.273076923076923</v>
      </c>
    </row>
    <row r="25" spans="2:8" x14ac:dyDescent="0.35">
      <c r="B25" s="3" t="s">
        <v>22</v>
      </c>
      <c r="C25" s="2">
        <v>32</v>
      </c>
      <c r="D25" s="7">
        <f t="shared" si="0"/>
        <v>4.6923076923076925</v>
      </c>
      <c r="E25" s="10" t="s">
        <v>84</v>
      </c>
      <c r="F25" s="5">
        <v>28</v>
      </c>
      <c r="G25" s="9">
        <f t="shared" si="1"/>
        <v>6.6000000000000005</v>
      </c>
      <c r="H25" s="9">
        <f t="shared" si="2"/>
        <v>5.6461538461538465</v>
      </c>
    </row>
    <row r="26" spans="2:8" x14ac:dyDescent="0.35">
      <c r="B26" s="3" t="s">
        <v>23</v>
      </c>
      <c r="C26" s="2">
        <v>31</v>
      </c>
      <c r="D26" s="7">
        <f t="shared" si="0"/>
        <v>4.5769230769230766</v>
      </c>
      <c r="E26" s="10" t="s">
        <v>86</v>
      </c>
      <c r="F26" s="5">
        <v>15</v>
      </c>
      <c r="G26" s="9">
        <f t="shared" si="1"/>
        <v>4</v>
      </c>
      <c r="H26" s="9">
        <f t="shared" si="2"/>
        <v>4.2884615384615383</v>
      </c>
    </row>
    <row r="27" spans="2:8" x14ac:dyDescent="0.35">
      <c r="B27" s="18" t="s">
        <v>24</v>
      </c>
      <c r="C27" s="24">
        <v>27</v>
      </c>
      <c r="D27" s="20">
        <f t="shared" si="0"/>
        <v>4.115384615384615</v>
      </c>
      <c r="E27" s="21" t="s">
        <v>87</v>
      </c>
      <c r="F27" s="25" t="s">
        <v>72</v>
      </c>
      <c r="G27" s="26"/>
      <c r="H27" s="23"/>
    </row>
    <row r="28" spans="2:8" x14ac:dyDescent="0.35">
      <c r="B28" s="3" t="s">
        <v>25</v>
      </c>
      <c r="C28" s="2">
        <v>32</v>
      </c>
      <c r="D28" s="7">
        <f t="shared" si="0"/>
        <v>4.6923076923076925</v>
      </c>
      <c r="E28" s="10" t="s">
        <v>76</v>
      </c>
      <c r="F28" s="5">
        <v>28</v>
      </c>
      <c r="G28" s="9">
        <f t="shared" si="1"/>
        <v>6.6000000000000005</v>
      </c>
      <c r="H28" s="9">
        <f t="shared" si="2"/>
        <v>5.6461538461538465</v>
      </c>
    </row>
    <row r="29" spans="2:8" x14ac:dyDescent="0.35">
      <c r="B29" s="3" t="s">
        <v>26</v>
      </c>
      <c r="C29" s="2">
        <v>33</v>
      </c>
      <c r="D29" s="7">
        <f t="shared" si="0"/>
        <v>4.8076923076923084</v>
      </c>
      <c r="E29" s="10" t="s">
        <v>80</v>
      </c>
      <c r="F29" s="5">
        <v>28</v>
      </c>
      <c r="G29" s="9">
        <f t="shared" si="1"/>
        <v>6.6000000000000005</v>
      </c>
      <c r="H29" s="9">
        <f t="shared" si="2"/>
        <v>5.703846153846154</v>
      </c>
    </row>
    <row r="30" spans="2:8" x14ac:dyDescent="0.35">
      <c r="B30" s="3" t="s">
        <v>27</v>
      </c>
      <c r="C30" s="2">
        <v>32</v>
      </c>
      <c r="D30" s="7">
        <f t="shared" si="0"/>
        <v>4.6923076923076925</v>
      </c>
      <c r="E30" s="10" t="s">
        <v>86</v>
      </c>
      <c r="F30" s="5">
        <v>15</v>
      </c>
      <c r="G30" s="9">
        <f t="shared" si="1"/>
        <v>4</v>
      </c>
      <c r="H30" s="9">
        <f t="shared" si="2"/>
        <v>4.3461538461538467</v>
      </c>
    </row>
    <row r="31" spans="2:8" x14ac:dyDescent="0.35">
      <c r="B31" s="3" t="s">
        <v>28</v>
      </c>
      <c r="C31" s="2">
        <v>25</v>
      </c>
      <c r="D31" s="8">
        <f t="shared" si="0"/>
        <v>3.8846153846153846</v>
      </c>
      <c r="E31" s="10" t="s">
        <v>85</v>
      </c>
      <c r="F31" s="5">
        <v>26</v>
      </c>
      <c r="G31" s="9">
        <f t="shared" si="1"/>
        <v>6.2</v>
      </c>
      <c r="H31" s="9">
        <f t="shared" si="2"/>
        <v>5.0423076923076922</v>
      </c>
    </row>
    <row r="32" spans="2:8" x14ac:dyDescent="0.35">
      <c r="B32" s="18" t="s">
        <v>29</v>
      </c>
      <c r="C32" s="19" t="s">
        <v>72</v>
      </c>
      <c r="D32" s="20"/>
      <c r="E32" s="21"/>
      <c r="F32" s="25" t="s">
        <v>72</v>
      </c>
      <c r="G32" s="23"/>
      <c r="H32" s="23"/>
    </row>
    <row r="33" spans="2:8" x14ac:dyDescent="0.35">
      <c r="B33" s="3" t="s">
        <v>30</v>
      </c>
      <c r="C33" s="2">
        <v>24</v>
      </c>
      <c r="D33" s="8">
        <f t="shared" si="0"/>
        <v>3.7692307692307692</v>
      </c>
      <c r="E33" s="10" t="s">
        <v>79</v>
      </c>
      <c r="F33" s="5">
        <v>26</v>
      </c>
      <c r="G33" s="9">
        <f t="shared" si="1"/>
        <v>6.2</v>
      </c>
      <c r="H33" s="9">
        <f t="shared" si="2"/>
        <v>4.9846153846153847</v>
      </c>
    </row>
    <row r="34" spans="2:8" x14ac:dyDescent="0.35">
      <c r="B34" s="3" t="s">
        <v>31</v>
      </c>
      <c r="C34" s="2">
        <v>24</v>
      </c>
      <c r="D34" s="8">
        <f t="shared" si="0"/>
        <v>3.7692307692307692</v>
      </c>
      <c r="E34" s="10" t="s">
        <v>87</v>
      </c>
      <c r="F34" s="11" t="s">
        <v>72</v>
      </c>
      <c r="G34" s="9"/>
      <c r="H34" s="9">
        <f t="shared" si="2"/>
        <v>1.8846153846153846</v>
      </c>
    </row>
    <row r="35" spans="2:8" x14ac:dyDescent="0.35">
      <c r="B35" s="3" t="s">
        <v>32</v>
      </c>
      <c r="C35" s="2">
        <v>35</v>
      </c>
      <c r="D35" s="7">
        <f t="shared" si="0"/>
        <v>5.0384615384615383</v>
      </c>
      <c r="E35" s="10" t="s">
        <v>82</v>
      </c>
      <c r="F35" s="5">
        <v>30</v>
      </c>
      <c r="G35" s="9">
        <f t="shared" si="1"/>
        <v>7</v>
      </c>
      <c r="H35" s="9">
        <f t="shared" si="2"/>
        <v>6.0192307692307692</v>
      </c>
    </row>
    <row r="36" spans="2:8" x14ac:dyDescent="0.35">
      <c r="B36" s="18" t="s">
        <v>33</v>
      </c>
      <c r="C36" s="24">
        <v>40</v>
      </c>
      <c r="D36" s="20">
        <f t="shared" si="0"/>
        <v>5.6153846153846159</v>
      </c>
      <c r="E36" s="21" t="s">
        <v>81</v>
      </c>
      <c r="F36" s="25" t="s">
        <v>72</v>
      </c>
      <c r="G36" s="23"/>
      <c r="H36" s="23"/>
    </row>
    <row r="37" spans="2:8" x14ac:dyDescent="0.35">
      <c r="B37" s="3" t="s">
        <v>34</v>
      </c>
      <c r="C37" s="2">
        <v>30</v>
      </c>
      <c r="D37" s="7">
        <f t="shared" si="0"/>
        <v>4.4615384615384617</v>
      </c>
      <c r="E37" s="10" t="s">
        <v>85</v>
      </c>
      <c r="F37" s="5">
        <v>26</v>
      </c>
      <c r="G37" s="9">
        <f t="shared" si="1"/>
        <v>6.2</v>
      </c>
      <c r="H37" s="9">
        <f t="shared" si="2"/>
        <v>5.3307692307692314</v>
      </c>
    </row>
    <row r="38" spans="2:8" x14ac:dyDescent="0.35">
      <c r="B38" s="3" t="s">
        <v>35</v>
      </c>
      <c r="C38" s="2">
        <v>39</v>
      </c>
      <c r="D38" s="7">
        <f t="shared" si="0"/>
        <v>5.5</v>
      </c>
      <c r="E38" s="10" t="s">
        <v>83</v>
      </c>
      <c r="F38" s="5">
        <v>28</v>
      </c>
      <c r="G38" s="9">
        <f t="shared" si="1"/>
        <v>6.6000000000000005</v>
      </c>
      <c r="H38" s="9">
        <f t="shared" si="2"/>
        <v>6.0500000000000007</v>
      </c>
    </row>
    <row r="39" spans="2:8" x14ac:dyDescent="0.35">
      <c r="B39" s="3" t="s">
        <v>36</v>
      </c>
      <c r="C39" s="2">
        <v>33</v>
      </c>
      <c r="D39" s="7">
        <f t="shared" si="0"/>
        <v>4.8076923076923084</v>
      </c>
      <c r="E39" s="10" t="s">
        <v>75</v>
      </c>
      <c r="F39" s="5">
        <v>21</v>
      </c>
      <c r="G39" s="9">
        <f t="shared" si="1"/>
        <v>5.2</v>
      </c>
      <c r="H39" s="9">
        <f t="shared" si="2"/>
        <v>5.0038461538461547</v>
      </c>
    </row>
    <row r="40" spans="2:8" x14ac:dyDescent="0.35">
      <c r="B40" s="18" t="s">
        <v>37</v>
      </c>
      <c r="C40" s="19" t="s">
        <v>72</v>
      </c>
      <c r="D40" s="20"/>
      <c r="E40" s="21"/>
      <c r="F40" s="25" t="s">
        <v>72</v>
      </c>
      <c r="G40" s="23"/>
      <c r="H40" s="23"/>
    </row>
    <row r="41" spans="2:8" x14ac:dyDescent="0.35">
      <c r="B41" s="3" t="s">
        <v>38</v>
      </c>
      <c r="C41" s="2">
        <v>41</v>
      </c>
      <c r="D41" s="7">
        <f t="shared" si="0"/>
        <v>5.7307692307692308</v>
      </c>
      <c r="E41" s="10" t="s">
        <v>84</v>
      </c>
      <c r="F41" s="5">
        <v>28</v>
      </c>
      <c r="G41" s="9">
        <f t="shared" si="1"/>
        <v>6.6000000000000005</v>
      </c>
      <c r="H41" s="9">
        <f t="shared" si="2"/>
        <v>6.1653846153846157</v>
      </c>
    </row>
    <row r="42" spans="2:8" x14ac:dyDescent="0.35">
      <c r="B42" s="3" t="s">
        <v>39</v>
      </c>
      <c r="C42" s="2">
        <v>23</v>
      </c>
      <c r="D42" s="8">
        <f t="shared" si="0"/>
        <v>3.6538461538461542</v>
      </c>
      <c r="E42" s="10" t="s">
        <v>76</v>
      </c>
      <c r="F42" s="5">
        <v>28</v>
      </c>
      <c r="G42" s="9">
        <f t="shared" si="1"/>
        <v>6.6000000000000005</v>
      </c>
      <c r="H42" s="9">
        <f t="shared" si="2"/>
        <v>5.1269230769230774</v>
      </c>
    </row>
    <row r="43" spans="2:8" x14ac:dyDescent="0.35">
      <c r="B43" s="3" t="s">
        <v>40</v>
      </c>
      <c r="C43" s="2">
        <v>35</v>
      </c>
      <c r="D43" s="7">
        <f t="shared" si="0"/>
        <v>5.0384615384615383</v>
      </c>
      <c r="E43" s="10" t="s">
        <v>77</v>
      </c>
      <c r="F43" s="5">
        <v>26</v>
      </c>
      <c r="G43" s="9">
        <f t="shared" si="1"/>
        <v>6.2</v>
      </c>
      <c r="H43" s="9">
        <f t="shared" si="2"/>
        <v>5.6192307692307697</v>
      </c>
    </row>
    <row r="44" spans="2:8" x14ac:dyDescent="0.35">
      <c r="B44" s="3" t="s">
        <v>41</v>
      </c>
      <c r="C44" s="2">
        <v>32</v>
      </c>
      <c r="D44" s="7">
        <f t="shared" si="0"/>
        <v>4.6923076923076925</v>
      </c>
      <c r="E44" s="10" t="s">
        <v>82</v>
      </c>
      <c r="F44" s="5">
        <v>30</v>
      </c>
      <c r="G44" s="9">
        <f t="shared" si="1"/>
        <v>7</v>
      </c>
      <c r="H44" s="9">
        <f t="shared" si="2"/>
        <v>5.8461538461538467</v>
      </c>
    </row>
    <row r="45" spans="2:8" x14ac:dyDescent="0.35">
      <c r="B45" s="3" t="s">
        <v>42</v>
      </c>
      <c r="C45" s="2">
        <v>26</v>
      </c>
      <c r="D45" s="7">
        <f t="shared" si="0"/>
        <v>4</v>
      </c>
      <c r="E45" s="10" t="s">
        <v>78</v>
      </c>
      <c r="F45" s="5">
        <v>23</v>
      </c>
      <c r="G45" s="9">
        <f t="shared" si="1"/>
        <v>5.6000000000000005</v>
      </c>
      <c r="H45" s="9">
        <f t="shared" si="2"/>
        <v>4.8000000000000007</v>
      </c>
    </row>
    <row r="46" spans="2:8" x14ac:dyDescent="0.35">
      <c r="B46" s="3" t="s">
        <v>43</v>
      </c>
      <c r="C46" s="2">
        <v>31</v>
      </c>
      <c r="D46" s="7">
        <f t="shared" si="0"/>
        <v>4.5769230769230766</v>
      </c>
      <c r="E46" s="10" t="s">
        <v>85</v>
      </c>
      <c r="F46" s="5">
        <v>26</v>
      </c>
      <c r="G46" s="9">
        <f t="shared" si="1"/>
        <v>6.2</v>
      </c>
      <c r="H46" s="9">
        <f t="shared" si="2"/>
        <v>5.388461538461538</v>
      </c>
    </row>
    <row r="47" spans="2:8" x14ac:dyDescent="0.35">
      <c r="B47" s="3" t="s">
        <v>44</v>
      </c>
      <c r="C47" s="2">
        <v>16</v>
      </c>
      <c r="D47" s="8">
        <f t="shared" si="0"/>
        <v>2.8461538461538463</v>
      </c>
      <c r="E47" s="10" t="s">
        <v>86</v>
      </c>
      <c r="F47" s="12">
        <v>15</v>
      </c>
      <c r="G47" s="9">
        <f t="shared" si="1"/>
        <v>4</v>
      </c>
      <c r="H47" s="9">
        <f t="shared" si="2"/>
        <v>3.4230769230769234</v>
      </c>
    </row>
    <row r="48" spans="2:8" x14ac:dyDescent="0.35">
      <c r="B48" s="3" t="s">
        <v>45</v>
      </c>
      <c r="C48" s="2">
        <v>39</v>
      </c>
      <c r="D48" s="7">
        <f t="shared" si="0"/>
        <v>5.5</v>
      </c>
      <c r="E48" s="10" t="s">
        <v>81</v>
      </c>
      <c r="F48" s="5">
        <v>21</v>
      </c>
      <c r="G48" s="9">
        <f t="shared" si="1"/>
        <v>5.2</v>
      </c>
      <c r="H48" s="9">
        <f t="shared" si="2"/>
        <v>5.35</v>
      </c>
    </row>
    <row r="49" spans="2:8" x14ac:dyDescent="0.35">
      <c r="B49" s="3" t="s">
        <v>46</v>
      </c>
      <c r="C49" s="2">
        <v>35</v>
      </c>
      <c r="D49" s="7">
        <f t="shared" si="0"/>
        <v>5.0384615384615383</v>
      </c>
      <c r="E49" s="10" t="s">
        <v>84</v>
      </c>
      <c r="F49" s="5">
        <v>28</v>
      </c>
      <c r="G49" s="9">
        <f t="shared" si="1"/>
        <v>6.6000000000000005</v>
      </c>
      <c r="H49" s="9">
        <f t="shared" si="2"/>
        <v>5.819230769230769</v>
      </c>
    </row>
    <row r="50" spans="2:8" x14ac:dyDescent="0.35">
      <c r="B50" s="18" t="s">
        <v>47</v>
      </c>
      <c r="C50" s="24">
        <v>33</v>
      </c>
      <c r="D50" s="20">
        <f t="shared" si="0"/>
        <v>4.8076923076923084</v>
      </c>
      <c r="E50" s="21" t="s">
        <v>87</v>
      </c>
      <c r="F50" s="25" t="s">
        <v>72</v>
      </c>
      <c r="G50" s="23"/>
      <c r="H50" s="23"/>
    </row>
    <row r="51" spans="2:8" x14ac:dyDescent="0.35">
      <c r="B51" s="3" t="s">
        <v>48</v>
      </c>
      <c r="C51" s="2">
        <v>41</v>
      </c>
      <c r="D51" s="7">
        <f t="shared" si="0"/>
        <v>5.7307692307692308</v>
      </c>
      <c r="E51" s="10" t="s">
        <v>79</v>
      </c>
      <c r="F51" s="5">
        <v>26</v>
      </c>
      <c r="G51" s="9">
        <f t="shared" si="1"/>
        <v>6.2</v>
      </c>
      <c r="H51" s="9">
        <f t="shared" si="2"/>
        <v>5.9653846153846155</v>
      </c>
    </row>
    <row r="52" spans="2:8" x14ac:dyDescent="0.35">
      <c r="B52" s="3" t="s">
        <v>49</v>
      </c>
      <c r="C52" s="2">
        <v>35</v>
      </c>
      <c r="D52" s="7">
        <f t="shared" si="0"/>
        <v>5.0384615384615383</v>
      </c>
      <c r="E52" s="10" t="s">
        <v>83</v>
      </c>
      <c r="F52" s="5">
        <v>28</v>
      </c>
      <c r="G52" s="9">
        <f t="shared" si="1"/>
        <v>6.6000000000000005</v>
      </c>
      <c r="H52" s="9">
        <f t="shared" si="2"/>
        <v>5.819230769230769</v>
      </c>
    </row>
    <row r="53" spans="2:8" x14ac:dyDescent="0.35">
      <c r="B53" s="3" t="s">
        <v>50</v>
      </c>
      <c r="C53" s="2">
        <v>32</v>
      </c>
      <c r="D53" s="7">
        <f t="shared" si="0"/>
        <v>4.6923076923076925</v>
      </c>
      <c r="E53" s="10" t="s">
        <v>82</v>
      </c>
      <c r="F53" s="5">
        <v>30</v>
      </c>
      <c r="G53" s="9">
        <f t="shared" si="1"/>
        <v>7</v>
      </c>
      <c r="H53" s="9">
        <f t="shared" si="2"/>
        <v>5.8461538461538467</v>
      </c>
    </row>
    <row r="54" spans="2:8" x14ac:dyDescent="0.35">
      <c r="B54" s="3" t="s">
        <v>51</v>
      </c>
      <c r="C54" s="2">
        <v>21</v>
      </c>
      <c r="D54" s="8">
        <f t="shared" si="0"/>
        <v>3.4230769230769234</v>
      </c>
      <c r="E54" s="10" t="s">
        <v>85</v>
      </c>
      <c r="F54" s="5">
        <v>26</v>
      </c>
      <c r="G54" s="9">
        <f t="shared" si="1"/>
        <v>6.2</v>
      </c>
      <c r="H54" s="9">
        <f t="shared" si="2"/>
        <v>4.8115384615384613</v>
      </c>
    </row>
    <row r="55" spans="2:8" x14ac:dyDescent="0.35">
      <c r="B55" s="3" t="s">
        <v>52</v>
      </c>
      <c r="C55" s="2">
        <v>29</v>
      </c>
      <c r="D55" s="7">
        <f t="shared" si="0"/>
        <v>4.3461538461538467</v>
      </c>
      <c r="E55" s="10" t="s">
        <v>79</v>
      </c>
      <c r="F55" s="5">
        <v>26</v>
      </c>
      <c r="G55" s="9">
        <f t="shared" si="1"/>
        <v>6.2</v>
      </c>
      <c r="H55" s="9">
        <f t="shared" si="2"/>
        <v>5.273076923076923</v>
      </c>
    </row>
    <row r="56" spans="2:8" x14ac:dyDescent="0.35">
      <c r="B56" s="3" t="s">
        <v>53</v>
      </c>
      <c r="C56" s="2">
        <v>42</v>
      </c>
      <c r="D56" s="7">
        <f t="shared" si="0"/>
        <v>5.8461538461538467</v>
      </c>
      <c r="E56" s="10" t="s">
        <v>83</v>
      </c>
      <c r="F56" s="5">
        <v>28</v>
      </c>
      <c r="G56" s="9">
        <f t="shared" si="1"/>
        <v>6.6000000000000005</v>
      </c>
      <c r="H56" s="9">
        <f t="shared" si="2"/>
        <v>6.2230769230769241</v>
      </c>
    </row>
    <row r="57" spans="2:8" x14ac:dyDescent="0.35">
      <c r="B57" s="3" t="s">
        <v>54</v>
      </c>
      <c r="C57" s="2">
        <v>8</v>
      </c>
      <c r="D57" s="8">
        <f t="shared" si="0"/>
        <v>1.9230769230769231</v>
      </c>
      <c r="E57" s="10" t="s">
        <v>79</v>
      </c>
      <c r="F57" s="5">
        <v>26</v>
      </c>
      <c r="G57" s="9">
        <f t="shared" si="1"/>
        <v>6.2</v>
      </c>
      <c r="H57" s="9">
        <f t="shared" si="2"/>
        <v>4.0615384615384613</v>
      </c>
    </row>
    <row r="58" spans="2:8" x14ac:dyDescent="0.35">
      <c r="B58" s="3" t="s">
        <v>55</v>
      </c>
      <c r="C58" s="2">
        <v>29</v>
      </c>
      <c r="D58" s="7">
        <f t="shared" si="0"/>
        <v>4.3461538461538467</v>
      </c>
      <c r="E58" s="10" t="s">
        <v>75</v>
      </c>
      <c r="F58" s="5">
        <v>21</v>
      </c>
      <c r="G58" s="9">
        <f t="shared" si="1"/>
        <v>5.2</v>
      </c>
      <c r="H58" s="9">
        <f t="shared" si="2"/>
        <v>4.773076923076923</v>
      </c>
    </row>
    <row r="59" spans="2:8" x14ac:dyDescent="0.35">
      <c r="B59" s="3" t="s">
        <v>56</v>
      </c>
      <c r="C59" s="2">
        <v>29</v>
      </c>
      <c r="D59" s="7">
        <f t="shared" si="0"/>
        <v>4.3461538461538467</v>
      </c>
      <c r="E59" s="10" t="s">
        <v>81</v>
      </c>
      <c r="F59" s="5">
        <v>21</v>
      </c>
      <c r="G59" s="9">
        <f t="shared" si="1"/>
        <v>5.2</v>
      </c>
      <c r="H59" s="9">
        <f t="shared" si="2"/>
        <v>4.773076923076923</v>
      </c>
    </row>
    <row r="60" spans="2:8" x14ac:dyDescent="0.35">
      <c r="B60" s="3" t="s">
        <v>57</v>
      </c>
      <c r="C60" s="2">
        <v>31</v>
      </c>
      <c r="D60" s="7">
        <f t="shared" si="0"/>
        <v>4.5769230769230766</v>
      </c>
      <c r="E60" s="10" t="s">
        <v>84</v>
      </c>
      <c r="F60" s="5">
        <v>28</v>
      </c>
      <c r="G60" s="9">
        <f t="shared" si="1"/>
        <v>6.6000000000000005</v>
      </c>
      <c r="H60" s="9">
        <f t="shared" si="2"/>
        <v>5.588461538461539</v>
      </c>
    </row>
    <row r="61" spans="2:8" x14ac:dyDescent="0.35">
      <c r="B61" s="3" t="s">
        <v>58</v>
      </c>
      <c r="C61" s="2">
        <v>28</v>
      </c>
      <c r="D61" s="7">
        <f t="shared" si="0"/>
        <v>4.2307692307692308</v>
      </c>
      <c r="E61" s="10" t="s">
        <v>78</v>
      </c>
      <c r="F61" s="5">
        <v>23</v>
      </c>
      <c r="G61" s="9">
        <f t="shared" si="1"/>
        <v>5.6000000000000005</v>
      </c>
      <c r="H61" s="9">
        <f t="shared" si="2"/>
        <v>4.9153846153846157</v>
      </c>
    </row>
    <row r="62" spans="2:8" x14ac:dyDescent="0.35">
      <c r="B62" s="3" t="s">
        <v>59</v>
      </c>
      <c r="C62" s="2">
        <v>28</v>
      </c>
      <c r="D62" s="7">
        <f t="shared" si="0"/>
        <v>4.2307692307692308</v>
      </c>
      <c r="E62" s="10" t="s">
        <v>81</v>
      </c>
      <c r="F62" s="5">
        <v>21</v>
      </c>
      <c r="G62" s="9">
        <f t="shared" si="1"/>
        <v>5.2</v>
      </c>
      <c r="H62" s="9">
        <f t="shared" si="2"/>
        <v>4.7153846153846155</v>
      </c>
    </row>
    <row r="63" spans="2:8" x14ac:dyDescent="0.35">
      <c r="B63" s="3" t="s">
        <v>60</v>
      </c>
      <c r="C63" s="2">
        <v>39</v>
      </c>
      <c r="D63" s="7">
        <f t="shared" si="0"/>
        <v>5.5</v>
      </c>
      <c r="E63" s="10" t="s">
        <v>85</v>
      </c>
      <c r="F63" s="5">
        <v>26</v>
      </c>
      <c r="G63" s="9">
        <f t="shared" si="1"/>
        <v>6.2</v>
      </c>
      <c r="H63" s="9">
        <f t="shared" si="2"/>
        <v>5.85</v>
      </c>
    </row>
    <row r="64" spans="2:8" x14ac:dyDescent="0.35">
      <c r="B64" s="3" t="s">
        <v>61</v>
      </c>
      <c r="C64" s="2">
        <v>25</v>
      </c>
      <c r="D64" s="8">
        <f t="shared" si="0"/>
        <v>3.8846153846153846</v>
      </c>
      <c r="E64" s="10" t="s">
        <v>82</v>
      </c>
      <c r="F64" s="5">
        <v>30</v>
      </c>
      <c r="G64" s="9">
        <f t="shared" si="1"/>
        <v>7</v>
      </c>
      <c r="H64" s="9">
        <f t="shared" si="2"/>
        <v>5.4423076923076925</v>
      </c>
    </row>
    <row r="65" spans="2:8" x14ac:dyDescent="0.35">
      <c r="B65" s="3" t="s">
        <v>62</v>
      </c>
      <c r="C65" s="2">
        <v>33</v>
      </c>
      <c r="D65" s="7">
        <f t="shared" si="0"/>
        <v>4.8076923076923084</v>
      </c>
      <c r="E65" s="10" t="s">
        <v>82</v>
      </c>
      <c r="F65" s="5">
        <v>30</v>
      </c>
      <c r="G65" s="9">
        <f t="shared" si="1"/>
        <v>7</v>
      </c>
      <c r="H65" s="9">
        <f t="shared" si="2"/>
        <v>5.9038461538461542</v>
      </c>
    </row>
    <row r="66" spans="2:8" x14ac:dyDescent="0.35">
      <c r="B66" s="3" t="s">
        <v>63</v>
      </c>
      <c r="C66" s="2">
        <v>29</v>
      </c>
      <c r="D66" s="7">
        <f t="shared" si="0"/>
        <v>4.3461538461538467</v>
      </c>
      <c r="E66" s="10" t="s">
        <v>86</v>
      </c>
      <c r="F66" s="5">
        <v>15</v>
      </c>
      <c r="G66" s="9">
        <f t="shared" si="1"/>
        <v>4</v>
      </c>
      <c r="H66" s="9">
        <f t="shared" si="2"/>
        <v>4.1730769230769234</v>
      </c>
    </row>
    <row r="67" spans="2:8" x14ac:dyDescent="0.35">
      <c r="B67" s="3" t="s">
        <v>64</v>
      </c>
      <c r="C67" s="2">
        <v>19</v>
      </c>
      <c r="D67" s="8">
        <f t="shared" si="0"/>
        <v>3.1923076923076925</v>
      </c>
      <c r="E67" s="10" t="s">
        <v>84</v>
      </c>
      <c r="F67" s="5">
        <v>28</v>
      </c>
      <c r="G67" s="9">
        <f t="shared" si="1"/>
        <v>6.6000000000000005</v>
      </c>
      <c r="H67" s="9">
        <f t="shared" si="2"/>
        <v>4.8961538461538465</v>
      </c>
    </row>
    <row r="68" spans="2:8" x14ac:dyDescent="0.35">
      <c r="B68" s="3" t="s">
        <v>65</v>
      </c>
      <c r="C68" s="2">
        <v>29</v>
      </c>
      <c r="D68" s="7">
        <f t="shared" si="0"/>
        <v>4.3461538461538467</v>
      </c>
      <c r="E68" s="10" t="s">
        <v>83</v>
      </c>
      <c r="F68" s="5">
        <v>28</v>
      </c>
      <c r="G68" s="9">
        <f t="shared" si="1"/>
        <v>6.6000000000000005</v>
      </c>
      <c r="H68" s="9">
        <f t="shared" si="2"/>
        <v>5.4730769230769241</v>
      </c>
    </row>
    <row r="69" spans="2:8" x14ac:dyDescent="0.35">
      <c r="B69" s="3" t="s">
        <v>66</v>
      </c>
      <c r="C69" s="2">
        <v>38</v>
      </c>
      <c r="D69" s="7">
        <f t="shared" si="0"/>
        <v>5.384615384615385</v>
      </c>
      <c r="E69" s="10" t="s">
        <v>86</v>
      </c>
      <c r="F69" s="5">
        <v>15</v>
      </c>
      <c r="G69" s="9">
        <f t="shared" si="1"/>
        <v>4</v>
      </c>
      <c r="H69" s="9">
        <f t="shared" si="2"/>
        <v>4.6923076923076925</v>
      </c>
    </row>
    <row r="70" spans="2:8" x14ac:dyDescent="0.35">
      <c r="B70" s="3" t="s">
        <v>67</v>
      </c>
      <c r="C70" s="2">
        <v>41</v>
      </c>
      <c r="D70" s="7">
        <f t="shared" si="0"/>
        <v>5.7307692307692308</v>
      </c>
      <c r="E70" s="10" t="s">
        <v>75</v>
      </c>
      <c r="F70" s="5">
        <v>21</v>
      </c>
      <c r="G70" s="9">
        <f t="shared" si="1"/>
        <v>5.2</v>
      </c>
      <c r="H70" s="9">
        <f t="shared" si="2"/>
        <v>5.4653846153846155</v>
      </c>
    </row>
    <row r="71" spans="2:8" x14ac:dyDescent="0.35">
      <c r="B71" s="3" t="s">
        <v>68</v>
      </c>
      <c r="C71" s="2">
        <v>41</v>
      </c>
      <c r="D71" s="7">
        <f t="shared" si="0"/>
        <v>5.7307692307692308</v>
      </c>
      <c r="E71" s="10" t="s">
        <v>77</v>
      </c>
      <c r="F71" s="5">
        <v>26</v>
      </c>
      <c r="G71" s="9">
        <f t="shared" si="1"/>
        <v>6.2</v>
      </c>
      <c r="H71" s="9">
        <f t="shared" si="2"/>
        <v>5.9653846153846155</v>
      </c>
    </row>
    <row r="72" spans="2:8" x14ac:dyDescent="0.35">
      <c r="B72" s="3" t="s">
        <v>69</v>
      </c>
      <c r="C72" s="2">
        <v>22</v>
      </c>
      <c r="D72" s="8">
        <f t="shared" ref="D72:D74" si="3">+C72*(6/52)+1</f>
        <v>3.5384615384615388</v>
      </c>
      <c r="E72" s="10" t="s">
        <v>80</v>
      </c>
      <c r="F72" s="5">
        <v>28</v>
      </c>
      <c r="G72" s="9">
        <f t="shared" ref="G72:G74" si="4">+F72*(6/30)+1</f>
        <v>6.6000000000000005</v>
      </c>
      <c r="H72" s="9">
        <f t="shared" ref="H72:H74" si="5">+(D72+G72)/2</f>
        <v>5.0692307692307699</v>
      </c>
    </row>
    <row r="73" spans="2:8" x14ac:dyDescent="0.35">
      <c r="B73" s="3" t="s">
        <v>70</v>
      </c>
      <c r="C73" s="2">
        <v>24</v>
      </c>
      <c r="D73" s="8">
        <f t="shared" si="3"/>
        <v>3.7692307692307692</v>
      </c>
      <c r="E73" s="10" t="s">
        <v>78</v>
      </c>
      <c r="F73" s="5">
        <v>23</v>
      </c>
      <c r="G73" s="9">
        <f t="shared" si="4"/>
        <v>5.6000000000000005</v>
      </c>
      <c r="H73" s="9">
        <f t="shared" si="5"/>
        <v>4.6846153846153848</v>
      </c>
    </row>
    <row r="74" spans="2:8" x14ac:dyDescent="0.35">
      <c r="B74" s="3" t="s">
        <v>71</v>
      </c>
      <c r="C74" s="2">
        <v>34</v>
      </c>
      <c r="D74" s="7">
        <f t="shared" si="3"/>
        <v>4.9230769230769234</v>
      </c>
      <c r="E74" s="10" t="s">
        <v>78</v>
      </c>
      <c r="F74" s="5">
        <v>23</v>
      </c>
      <c r="G74" s="9">
        <f t="shared" si="4"/>
        <v>5.6000000000000005</v>
      </c>
      <c r="H74" s="9">
        <f t="shared" si="5"/>
        <v>5.2615384615384624</v>
      </c>
    </row>
  </sheetData>
  <mergeCells count="4">
    <mergeCell ref="B4:B6"/>
    <mergeCell ref="C4:D5"/>
    <mergeCell ref="E4:G5"/>
    <mergeCell ref="H4:H6"/>
  </mergeCells>
  <pageMargins left="0.74803149606299213" right="0.74803149606299213" top="0.98425196850393704" bottom="0.98425196850393704" header="0.51181102362204722" footer="0.51181102362204722"/>
  <pageSetup paperSize="9" scale="90" fitToHeight="2" orientation="portrait" horizontalDpi="300" verticalDpi="300" r:id="rId1"/>
  <ignoredErrors>
    <ignoredError sqref="E7:E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Notas</vt:lpstr>
      <vt:lpstr>Notas!Área_de_impresión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Rene Rodriguez</cp:lastModifiedBy>
  <cp:revision>0</cp:revision>
  <cp:lastPrinted>2026-09-09T09:20:29Z</cp:lastPrinted>
  <dcterms:created xsi:type="dcterms:W3CDTF">2026-09-08T23:08:26Z</dcterms:created>
  <dcterms:modified xsi:type="dcterms:W3CDTF">2026-10-08T10:06:17Z</dcterms:modified>
  <dc:language>en-US</dc:language>
</cp:coreProperties>
</file>